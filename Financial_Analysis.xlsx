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Trend Analysis" sheetId="6" state="visible" r:id="rId6"/>
  </sheets>
  <definedNames>
    <definedName name="_xlnm._FilterDatabase" localSheetId="1" hidden="1">'Income Statement'!$A$4:$D$13</definedName>
    <definedName name="_xlnm._FilterDatabase" localSheetId="2" hidden="1">'Balance Sheet'!$A$4:$D$17</definedName>
    <definedName name="_xlnm._FilterDatabase" localSheetId="3" hidden="1">'Cash Flow'!$A$4:$D$16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0x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6"/>
    </font>
    <font>
      <b val="1"/>
      <color rgb="00FFFFFF"/>
    </font>
    <font>
      <b val="1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color rgb="00243447"/>
      <sz val="10"/>
    </font>
    <font>
      <name val="Arial"/>
      <b val="1"/>
      <color rgb="00FFFFFF"/>
      <sz val="16"/>
    </font>
    <font>
      <name val="Arial"/>
      <b val="1"/>
      <color rgb="00243447"/>
      <sz val="10"/>
    </font>
    <font>
      <name val="Arial"/>
      <i val="1"/>
      <color rgb="00243447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F7FB"/>
      </patternFill>
    </fill>
  </fills>
  <borders count="5">
    <border>
      <left/>
      <right/>
      <top/>
      <bottom/>
      <diagonal/>
    </border>
    <border>
      <bottom style="thin">
        <color rgb="00D6DEE8"/>
      </bottom>
    </border>
    <border>
      <right/>
      <bottom style="thin">
        <color rgb="00D6DEE8"/>
      </bottom>
    </border>
    <border>
      <left/>
      <right/>
      <top/>
      <bottom style="thin">
        <color rgb="00D6DEE8"/>
      </bottom>
      <diagonal/>
    </border>
    <border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164" fontId="5" fillId="3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2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2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6" fillId="2" borderId="4" applyAlignment="1" pivotButton="0" quotePrefix="0" xfId="0">
      <alignment horizontal="center" vertical="center" wrapText="1"/>
    </xf>
    <xf numFmtId="1" fontId="6" fillId="2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Financial Metrics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Analysis'!$B$3:$D$3</f>
            </numRef>
          </cat>
          <val>
            <numRef>
              <f>'Trend Analysis'!$B$4:$D$4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Analysis'!$B$3:$D$3</f>
            </numRef>
          </cat>
          <val>
            <numRef>
              <f>'Trend Analysis'!$B$5:$D$5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Analysis'!$B$3:$D$3</f>
            </numRef>
          </cat>
          <val>
            <numRef>
              <f>'Trend Analysis'!$B$6:$D$6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Analysis'!$B$3:$D$3</f>
            </numRef>
          </cat>
          <val>
            <numRef>
              <f>'Trend Analysis'!$B$7:$D$7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thousands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5" t="inlineStr">
        <is>
          <t>ABC CORPORATION | FINANCIAL ANALYSIS</t>
        </is>
      </c>
      <c r="B1" s="16" t="n"/>
      <c r="C1" s="16" t="n"/>
      <c r="D1" s="16" t="n"/>
      <c r="E1" s="16" t="n"/>
      <c r="F1" s="16" t="n"/>
    </row>
    <row r="2"/>
    <row r="3" ht="28" customHeight="1">
      <c r="A3" s="17" t="inlineStr">
        <is>
          <t>Project</t>
        </is>
      </c>
      <c r="B3" s="18" t="inlineStr">
        <is>
          <t>Financial Analysis and Presentation</t>
        </is>
      </c>
    </row>
    <row r="4" ht="28" customHeight="1">
      <c r="A4" s="17" t="inlineStr">
        <is>
          <t>Purpose</t>
        </is>
      </c>
      <c r="B4" s="18" t="inlineStr">
        <is>
          <t>Analyze illustrative financial statements for 2023–2025 using Excel formulas, ratios, and charts.</t>
        </is>
      </c>
    </row>
    <row r="5" ht="28" customHeight="1">
      <c r="A5" s="17" t="inlineStr">
        <is>
          <t>Units</t>
        </is>
      </c>
      <c r="B5" s="18" t="inlineStr">
        <is>
          <t>All financial statement amounts are in USD thousands unless stated otherwise.</t>
        </is>
      </c>
    </row>
    <row r="6" ht="28" customHeight="1">
      <c r="A6" s="17" t="inlineStr">
        <is>
          <t>Important note</t>
        </is>
      </c>
      <c r="B6" s="18" t="inlineStr">
        <is>
          <t>All company figures are fictional sample data created for an educational project.</t>
        </is>
      </c>
    </row>
    <row r="7" ht="28" customHeight="1">
      <c r="A7" s="17" t="inlineStr">
        <is>
          <t>How to use</t>
        </is>
      </c>
      <c r="B7" s="18" t="inlineStr">
        <is>
          <t>Review Income Statement, Balance Sheet, Cash Flow, Ratios, and Trend Analysis worksheets.</t>
        </is>
      </c>
    </row>
    <row r="8" ht="28" customHeight="1">
      <c r="A8" s="17" t="inlineStr">
        <is>
          <t>Prepared for</t>
        </is>
      </c>
      <c r="B8" s="18" t="inlineStr">
        <is>
          <t>DS Lab using Excel Mini Project</t>
        </is>
      </c>
    </row>
    <row r="9"/>
    <row r="10"/>
    <row r="11" ht="22" customHeight="1">
      <c r="A11" s="14" t="n"/>
      <c r="B11" s="5" t="n"/>
    </row>
    <row r="12" ht="22" customHeight="1">
      <c r="A12" s="14" t="n"/>
      <c r="B12" s="5" t="n"/>
    </row>
    <row r="13" ht="22" customHeight="1">
      <c r="A13" s="14" t="n"/>
      <c r="B13" s="5" t="n"/>
    </row>
    <row r="14" ht="22" customHeight="1">
      <c r="A14" s="14" t="n"/>
      <c r="B14" s="5" t="n"/>
    </row>
    <row r="15" ht="22" customHeight="1">
      <c r="A15" s="14" t="n"/>
      <c r="B15" s="5" t="n"/>
    </row>
    <row r="16" ht="22" customHeight="1">
      <c r="A16" s="14" t="n"/>
      <c r="B16" s="5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9" t="inlineStr">
        <is>
          <t>INCOME STATEMENT</t>
        </is>
      </c>
      <c r="B1" s="16" t="n"/>
      <c r="C1" s="16" t="n"/>
      <c r="D1" s="16" t="n"/>
    </row>
    <row r="2" ht="24" customHeight="1">
      <c r="A2" s="20" t="inlineStr">
        <is>
          <t>USD thousands (illustrative sample data)</t>
        </is>
      </c>
    </row>
    <row r="3"/>
    <row r="4" ht="30" customHeight="1">
      <c r="A4" s="21" t="inlineStr">
        <is>
          <t>Line Item</t>
        </is>
      </c>
      <c r="B4" s="22" t="n">
        <v>2023</v>
      </c>
      <c r="C4" s="22" t="n">
        <v>2024</v>
      </c>
      <c r="D4" s="22" t="n">
        <v>2025</v>
      </c>
    </row>
    <row r="5" ht="25" customHeight="1">
      <c r="A5" s="23" t="inlineStr">
        <is>
          <t>Revenue</t>
        </is>
      </c>
      <c r="B5" s="24" t="n">
        <v>1200</v>
      </c>
      <c r="C5" s="24" t="n">
        <v>1380</v>
      </c>
      <c r="D5" s="24" t="n">
        <v>1560</v>
      </c>
    </row>
    <row r="6" ht="25" customHeight="1">
      <c r="A6" s="25" t="inlineStr">
        <is>
          <t>Cost of Goods Sold</t>
        </is>
      </c>
      <c r="B6" s="26" t="n">
        <v>720</v>
      </c>
      <c r="C6" s="26" t="n">
        <v>814</v>
      </c>
      <c r="D6" s="26" t="n">
        <v>905</v>
      </c>
    </row>
    <row r="7" ht="25" customHeight="1">
      <c r="A7" s="27" t="inlineStr">
        <is>
          <t>Gross Profit</t>
        </is>
      </c>
      <c r="B7" s="28" t="n">
        <v>480</v>
      </c>
      <c r="C7" s="28" t="n">
        <v>566</v>
      </c>
      <c r="D7" s="28" t="n">
        <v>655</v>
      </c>
    </row>
    <row r="8" ht="25" customHeight="1">
      <c r="A8" s="25" t="inlineStr">
        <is>
          <t>Operating Expenses</t>
        </is>
      </c>
      <c r="B8" s="26" t="n">
        <v>300</v>
      </c>
      <c r="C8" s="26" t="n">
        <v>330</v>
      </c>
      <c r="D8" s="26" t="n">
        <v>365</v>
      </c>
    </row>
    <row r="9" ht="25" customHeight="1">
      <c r="A9" s="27" t="inlineStr">
        <is>
          <t>Operating Income</t>
        </is>
      </c>
      <c r="B9" s="28" t="n">
        <v>180</v>
      </c>
      <c r="C9" s="28" t="n">
        <v>236</v>
      </c>
      <c r="D9" s="28" t="n">
        <v>290</v>
      </c>
    </row>
    <row r="10" ht="25" customHeight="1">
      <c r="A10" s="25" t="inlineStr">
        <is>
          <t>Interest Expense</t>
        </is>
      </c>
      <c r="B10" s="26" t="n">
        <v>24</v>
      </c>
      <c r="C10" s="26" t="n">
        <v>26</v>
      </c>
      <c r="D10" s="26" t="n">
        <v>28</v>
      </c>
    </row>
    <row r="11" ht="25" customHeight="1">
      <c r="A11" s="27" t="inlineStr">
        <is>
          <t>Income Before Tax</t>
        </is>
      </c>
      <c r="B11" s="28" t="n">
        <v>156</v>
      </c>
      <c r="C11" s="28" t="n">
        <v>210</v>
      </c>
      <c r="D11" s="28" t="n">
        <v>262</v>
      </c>
    </row>
    <row r="12" ht="25" customHeight="1">
      <c r="A12" s="25" t="inlineStr">
        <is>
          <t>Tax Expense</t>
        </is>
      </c>
      <c r="B12" s="26" t="n">
        <v>39</v>
      </c>
      <c r="C12" s="26" t="n">
        <v>53</v>
      </c>
      <c r="D12" s="26" t="n">
        <v>66</v>
      </c>
    </row>
    <row r="13" ht="25" customHeight="1">
      <c r="A13" s="27" t="inlineStr">
        <is>
          <t>Net Income</t>
        </is>
      </c>
      <c r="B13" s="28" t="n">
        <v>117</v>
      </c>
      <c r="C13" s="28" t="n">
        <v>157</v>
      </c>
      <c r="D13" s="28" t="n">
        <v>196</v>
      </c>
    </row>
  </sheetData>
  <autoFilter ref="A4:D13"/>
  <mergeCells count="1">
    <mergeCell ref="A1:D1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9" t="inlineStr">
        <is>
          <t>BALANCE SHEET</t>
        </is>
      </c>
      <c r="B1" s="16" t="n"/>
      <c r="C1" s="16" t="n"/>
      <c r="D1" s="16" t="n"/>
    </row>
    <row r="2" ht="24" customHeight="1">
      <c r="A2" s="20" t="inlineStr">
        <is>
          <t>USD thousands (illustrative sample data)</t>
        </is>
      </c>
    </row>
    <row r="3"/>
    <row r="4" ht="30" customHeight="1">
      <c r="A4" s="21" t="inlineStr">
        <is>
          <t>Line Item</t>
        </is>
      </c>
      <c r="B4" s="22" t="n">
        <v>2023</v>
      </c>
      <c r="C4" s="22" t="n">
        <v>2024</v>
      </c>
      <c r="D4" s="22" t="n">
        <v>2025</v>
      </c>
    </row>
    <row r="5" ht="25" customHeight="1">
      <c r="A5" s="23" t="inlineStr">
        <is>
          <t>Cash and Cash Equivalents</t>
        </is>
      </c>
      <c r="B5" s="24" t="n">
        <v>150</v>
      </c>
      <c r="C5" s="24" t="n">
        <v>205</v>
      </c>
      <c r="D5" s="24" t="n">
        <v>268</v>
      </c>
    </row>
    <row r="6" ht="25" customHeight="1">
      <c r="A6" s="25" t="inlineStr">
        <is>
          <t>Accounts Receivable</t>
        </is>
      </c>
      <c r="B6" s="26" t="n">
        <v>180</v>
      </c>
      <c r="C6" s="26" t="n">
        <v>205</v>
      </c>
      <c r="D6" s="26" t="n">
        <v>230</v>
      </c>
    </row>
    <row r="7" ht="25" customHeight="1">
      <c r="A7" s="23" t="inlineStr">
        <is>
          <t>Inventory</t>
        </is>
      </c>
      <c r="B7" s="24" t="n">
        <v>140</v>
      </c>
      <c r="C7" s="24" t="n">
        <v>155</v>
      </c>
      <c r="D7" s="24" t="n">
        <v>170</v>
      </c>
    </row>
    <row r="8" ht="25" customHeight="1">
      <c r="A8" s="27" t="inlineStr">
        <is>
          <t>Total Current Assets</t>
        </is>
      </c>
      <c r="B8" s="28" t="n">
        <v>470</v>
      </c>
      <c r="C8" s="28" t="n">
        <v>565</v>
      </c>
      <c r="D8" s="28" t="n">
        <v>668</v>
      </c>
    </row>
    <row r="9" ht="25" customHeight="1">
      <c r="A9" s="23" t="inlineStr">
        <is>
          <t>Property, Plant &amp; Equipment</t>
        </is>
      </c>
      <c r="B9" s="24" t="n">
        <v>500</v>
      </c>
      <c r="C9" s="24" t="n">
        <v>530</v>
      </c>
      <c r="D9" s="24" t="n">
        <v>560</v>
      </c>
    </row>
    <row r="10" ht="25" customHeight="1">
      <c r="A10" s="27" t="inlineStr">
        <is>
          <t>Total Assets</t>
        </is>
      </c>
      <c r="B10" s="28" t="n">
        <v>970</v>
      </c>
      <c r="C10" s="28" t="n">
        <v>1095</v>
      </c>
      <c r="D10" s="28" t="n">
        <v>1228</v>
      </c>
    </row>
    <row r="11" ht="25" customHeight="1">
      <c r="A11" s="23" t="inlineStr">
        <is>
          <t>Accounts Payable</t>
        </is>
      </c>
      <c r="B11" s="24" t="n">
        <v>130</v>
      </c>
      <c r="C11" s="24" t="n">
        <v>145</v>
      </c>
      <c r="D11" s="24" t="n">
        <v>155</v>
      </c>
    </row>
    <row r="12" ht="25" customHeight="1">
      <c r="A12" s="25" t="inlineStr">
        <is>
          <t>Short-term Debt</t>
        </is>
      </c>
      <c r="B12" s="26" t="n">
        <v>70</v>
      </c>
      <c r="C12" s="26" t="n">
        <v>65</v>
      </c>
      <c r="D12" s="26" t="n">
        <v>60</v>
      </c>
    </row>
    <row r="13" ht="25" customHeight="1">
      <c r="A13" s="27" t="inlineStr">
        <is>
          <t>Total Current Liabilities</t>
        </is>
      </c>
      <c r="B13" s="28" t="n">
        <v>200</v>
      </c>
      <c r="C13" s="28" t="n">
        <v>210</v>
      </c>
      <c r="D13" s="28" t="n">
        <v>215</v>
      </c>
    </row>
    <row r="14" ht="25" customHeight="1">
      <c r="A14" s="25" t="inlineStr">
        <is>
          <t>Long-term Debt</t>
        </is>
      </c>
      <c r="B14" s="26" t="n">
        <v>260</v>
      </c>
      <c r="C14" s="26" t="n">
        <v>245</v>
      </c>
      <c r="D14" s="26" t="n">
        <v>225</v>
      </c>
    </row>
    <row r="15" ht="25" customHeight="1">
      <c r="A15" s="27" t="inlineStr">
        <is>
          <t>Total Liabilities</t>
        </is>
      </c>
      <c r="B15" s="28" t="n">
        <v>460</v>
      </c>
      <c r="C15" s="28" t="n">
        <v>455</v>
      </c>
      <c r="D15" s="28" t="n">
        <v>440</v>
      </c>
    </row>
    <row r="16" ht="25" customHeight="1">
      <c r="A16" s="25" t="inlineStr">
        <is>
          <t>Shareholders' Equity</t>
        </is>
      </c>
      <c r="B16" s="26" t="n">
        <v>510</v>
      </c>
      <c r="C16" s="26" t="n">
        <v>640</v>
      </c>
      <c r="D16" s="26" t="n">
        <v>788</v>
      </c>
    </row>
    <row r="17" ht="25" customHeight="1">
      <c r="A17" s="27" t="inlineStr">
        <is>
          <t>Total Liabilities &amp; Equity</t>
        </is>
      </c>
      <c r="B17" s="28" t="n">
        <v>970</v>
      </c>
      <c r="C17" s="28" t="n">
        <v>1095</v>
      </c>
      <c r="D17" s="28" t="n">
        <v>1228</v>
      </c>
    </row>
  </sheetData>
  <autoFilter ref="A4:D17"/>
  <mergeCells count="1">
    <mergeCell ref="A1:D1"/>
  </mergeCell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9" t="inlineStr">
        <is>
          <t>CASH FLOW STATEMENT</t>
        </is>
      </c>
      <c r="B1" s="16" t="n"/>
      <c r="C1" s="16" t="n"/>
      <c r="D1" s="16" t="n"/>
    </row>
    <row r="2" ht="24" customHeight="1">
      <c r="A2" s="20" t="inlineStr">
        <is>
          <t>USD thousands (illustrative sample data)</t>
        </is>
      </c>
    </row>
    <row r="3"/>
    <row r="4" ht="30" customHeight="1">
      <c r="A4" s="21" t="inlineStr">
        <is>
          <t>Line Item</t>
        </is>
      </c>
      <c r="B4" s="22" t="n">
        <v>2023</v>
      </c>
      <c r="C4" s="22" t="n">
        <v>2024</v>
      </c>
      <c r="D4" s="22" t="n">
        <v>2025</v>
      </c>
    </row>
    <row r="5" ht="25" customHeight="1">
      <c r="A5" s="27" t="inlineStr">
        <is>
          <t>Net Income</t>
        </is>
      </c>
      <c r="B5" s="28" t="n">
        <v>117</v>
      </c>
      <c r="C5" s="28" t="n">
        <v>157</v>
      </c>
      <c r="D5" s="28" t="n">
        <v>196</v>
      </c>
    </row>
    <row r="6" ht="25" customHeight="1">
      <c r="A6" s="25" t="inlineStr">
        <is>
          <t>Depreciation &amp; Amortization</t>
        </is>
      </c>
      <c r="B6" s="26" t="n">
        <v>45</v>
      </c>
      <c r="C6" s="26" t="n">
        <v>48</v>
      </c>
      <c r="D6" s="26" t="n">
        <v>52</v>
      </c>
    </row>
    <row r="7" ht="25" customHeight="1">
      <c r="A7" s="23" t="inlineStr">
        <is>
          <t>Change in Working Capital</t>
        </is>
      </c>
      <c r="B7" s="24" t="n">
        <v>-20</v>
      </c>
      <c r="C7" s="24" t="n">
        <v>-18</v>
      </c>
      <c r="D7" s="24" t="n">
        <v>-15</v>
      </c>
    </row>
    <row r="8" ht="25" customHeight="1">
      <c r="A8" s="27" t="inlineStr">
        <is>
          <t>Net Cash from Operating Activities</t>
        </is>
      </c>
      <c r="B8" s="28" t="n">
        <v>142</v>
      </c>
      <c r="C8" s="28" t="n">
        <v>187</v>
      </c>
      <c r="D8" s="28" t="n">
        <v>233</v>
      </c>
    </row>
    <row r="9" ht="25" customHeight="1">
      <c r="A9" s="23" t="inlineStr">
        <is>
          <t>Capital Expenditures</t>
        </is>
      </c>
      <c r="B9" s="24" t="n">
        <v>-75</v>
      </c>
      <c r="C9" s="24" t="n">
        <v>-82</v>
      </c>
      <c r="D9" s="24" t="n">
        <v>-90</v>
      </c>
    </row>
    <row r="10" ht="25" customHeight="1">
      <c r="A10" s="27" t="inlineStr">
        <is>
          <t>Net Cash from Investing Activities</t>
        </is>
      </c>
      <c r="B10" s="28" t="n">
        <v>-75</v>
      </c>
      <c r="C10" s="28" t="n">
        <v>-82</v>
      </c>
      <c r="D10" s="28" t="n">
        <v>-90</v>
      </c>
    </row>
    <row r="11" ht="25" customHeight="1">
      <c r="A11" s="23" t="inlineStr">
        <is>
          <t>Debt Issued / (Repaid)</t>
        </is>
      </c>
      <c r="B11" s="24" t="n">
        <v>-20</v>
      </c>
      <c r="C11" s="24" t="n">
        <v>-20</v>
      </c>
      <c r="D11" s="24" t="n">
        <v>-25</v>
      </c>
    </row>
    <row r="12" ht="25" customHeight="1">
      <c r="A12" s="25" t="inlineStr">
        <is>
          <t>Dividends Paid</t>
        </is>
      </c>
      <c r="B12" s="26" t="n">
        <v>-25</v>
      </c>
      <c r="C12" s="26" t="n">
        <v>-30</v>
      </c>
      <c r="D12" s="26" t="n">
        <v>-35</v>
      </c>
    </row>
    <row r="13" ht="25" customHeight="1">
      <c r="A13" s="27" t="inlineStr">
        <is>
          <t>Net Cash from Financing Activities</t>
        </is>
      </c>
      <c r="B13" s="28" t="n">
        <v>-45</v>
      </c>
      <c r="C13" s="28" t="n">
        <v>-50</v>
      </c>
      <c r="D13" s="28" t="n">
        <v>-60</v>
      </c>
    </row>
    <row r="14" ht="25" customHeight="1">
      <c r="A14" s="27" t="inlineStr">
        <is>
          <t>Net Change in Cash</t>
        </is>
      </c>
      <c r="B14" s="28" t="n">
        <v>22</v>
      </c>
      <c r="C14" s="28" t="n">
        <v>55</v>
      </c>
      <c r="D14" s="28" t="n">
        <v>63</v>
      </c>
    </row>
    <row r="15" ht="25" customHeight="1">
      <c r="A15" s="23" t="inlineStr">
        <is>
          <t>Beginning Cash</t>
        </is>
      </c>
      <c r="B15" s="24" t="n">
        <v>128</v>
      </c>
      <c r="C15" s="24" t="n">
        <v>150</v>
      </c>
      <c r="D15" s="24" t="n">
        <v>205</v>
      </c>
    </row>
    <row r="16" ht="25" customHeight="1">
      <c r="A16" s="27" t="inlineStr">
        <is>
          <t>Ending Cash</t>
        </is>
      </c>
      <c r="B16" s="28" t="n">
        <v>150</v>
      </c>
      <c r="C16" s="28" t="n">
        <v>205</v>
      </c>
      <c r="D16" s="28" t="n">
        <v>268</v>
      </c>
    </row>
  </sheetData>
  <autoFilter ref="A4:D16"/>
  <mergeCells count="1">
    <mergeCell ref="A1:D1"/>
  </mergeCell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9" t="inlineStr">
        <is>
          <t>FINANCIAL RATIOS</t>
        </is>
      </c>
      <c r="B1" s="16" t="n"/>
      <c r="C1" s="16" t="n"/>
      <c r="D1" s="16" t="n"/>
    </row>
    <row r="2" ht="24" customHeight="1">
      <c r="A2" s="20" t="inlineStr">
        <is>
          <t>Formula-driven calculations linked to the financial statement worksheets.</t>
        </is>
      </c>
    </row>
    <row r="3"/>
    <row r="4" ht="30" customHeight="1">
      <c r="A4" s="21" t="inlineStr">
        <is>
          <t>Ratio</t>
        </is>
      </c>
      <c r="B4" s="21" t="n">
        <v>2023</v>
      </c>
      <c r="C4" s="21" t="n">
        <v>2024</v>
      </c>
      <c r="D4" s="21" t="n">
        <v>2025</v>
      </c>
    </row>
    <row r="5" ht="25" customHeight="1">
      <c r="A5" s="23" t="inlineStr">
        <is>
          <t>Current Ratio</t>
        </is>
      </c>
      <c r="B5" s="29">
        <f>'Balance Sheet'!B8/'Balance Sheet'!B13</f>
        <v/>
      </c>
      <c r="C5" s="29">
        <f>'Balance Sheet'!C8/'Balance Sheet'!C13</f>
        <v/>
      </c>
      <c r="D5" s="29">
        <f>'Balance Sheet'!D8/'Balance Sheet'!D13</f>
        <v/>
      </c>
    </row>
    <row r="6" ht="25" customHeight="1">
      <c r="A6" s="25" t="inlineStr">
        <is>
          <t>Quick Ratio</t>
        </is>
      </c>
      <c r="B6" s="30">
        <f>('Balance Sheet'!B8-'Balance Sheet'!B7)/'Balance Sheet'!B13</f>
        <v/>
      </c>
      <c r="C6" s="30">
        <f>('Balance Sheet'!C8-'Balance Sheet'!C7)/'Balance Sheet'!C13</f>
        <v/>
      </c>
      <c r="D6" s="30">
        <f>('Balance Sheet'!D8-'Balance Sheet'!D7)/'Balance Sheet'!D13</f>
        <v/>
      </c>
    </row>
    <row r="7" ht="25" customHeight="1">
      <c r="A7" s="23" t="inlineStr">
        <is>
          <t>Gross Profit Margin</t>
        </is>
      </c>
      <c r="B7" s="31">
        <f>'Income Statement'!B7/'Income Statement'!B5</f>
        <v/>
      </c>
      <c r="C7" s="31">
        <f>'Income Statement'!C7/'Income Statement'!C5</f>
        <v/>
      </c>
      <c r="D7" s="31">
        <f>'Income Statement'!D7/'Income Statement'!D5</f>
        <v/>
      </c>
    </row>
    <row r="8" ht="25" customHeight="1">
      <c r="A8" s="25" t="inlineStr">
        <is>
          <t>Operating Profit Margin</t>
        </is>
      </c>
      <c r="B8" s="32">
        <f>'Income Statement'!B9/'Income Statement'!B5</f>
        <v/>
      </c>
      <c r="C8" s="32">
        <f>'Income Statement'!C9/'Income Statement'!C5</f>
        <v/>
      </c>
      <c r="D8" s="32">
        <f>'Income Statement'!D9/'Income Statement'!D5</f>
        <v/>
      </c>
    </row>
    <row r="9" ht="25" customHeight="1">
      <c r="A9" s="23" t="inlineStr">
        <is>
          <t>Net Profit Margin</t>
        </is>
      </c>
      <c r="B9" s="31">
        <f>'Income Statement'!B13/'Income Statement'!B5</f>
        <v/>
      </c>
      <c r="C9" s="31">
        <f>'Income Statement'!C13/'Income Statement'!C5</f>
        <v/>
      </c>
      <c r="D9" s="31">
        <f>'Income Statement'!D13/'Income Statement'!D5</f>
        <v/>
      </c>
    </row>
    <row r="10" ht="25" customHeight="1">
      <c r="A10" s="25" t="inlineStr">
        <is>
          <t>Debt-to-Assets</t>
        </is>
      </c>
      <c r="B10" s="32">
        <f>'Balance Sheet'!B15/'Balance Sheet'!B10</f>
        <v/>
      </c>
      <c r="C10" s="32">
        <f>'Balance Sheet'!C15/'Balance Sheet'!C10</f>
        <v/>
      </c>
      <c r="D10" s="32">
        <f>'Balance Sheet'!D15/'Balance Sheet'!D10</f>
        <v/>
      </c>
    </row>
    <row r="11" ht="25" customHeight="1">
      <c r="A11" s="23" t="inlineStr">
        <is>
          <t>Debt-to-Equity</t>
        </is>
      </c>
      <c r="B11" s="29">
        <f>'Balance Sheet'!B15/'Balance Sheet'!B16</f>
        <v/>
      </c>
      <c r="C11" s="29">
        <f>'Balance Sheet'!C15/'Balance Sheet'!C16</f>
        <v/>
      </c>
      <c r="D11" s="29">
        <f>'Balance Sheet'!D15/'Balance Sheet'!D16</f>
        <v/>
      </c>
    </row>
    <row r="12" ht="25" customHeight="1">
      <c r="A12" s="25" t="inlineStr">
        <is>
          <t>Return on Assets</t>
        </is>
      </c>
      <c r="B12" s="32">
        <f>'Income Statement'!B13/'Balance Sheet'!B10</f>
        <v/>
      </c>
      <c r="C12" s="32">
        <f>'Income Statement'!C13/'Balance Sheet'!C10</f>
        <v/>
      </c>
      <c r="D12" s="32">
        <f>'Income Statement'!D13/'Balance Sheet'!D10</f>
        <v/>
      </c>
    </row>
    <row r="13" ht="25" customHeight="1">
      <c r="A13" s="23" t="inlineStr">
        <is>
          <t>Return on Equity</t>
        </is>
      </c>
      <c r="B13" s="31">
        <f>'Income Statement'!B13/'Balance Sheet'!B16</f>
        <v/>
      </c>
      <c r="C13" s="31">
        <f>'Income Statement'!C13/'Balance Sheet'!C16</f>
        <v/>
      </c>
      <c r="D13" s="31">
        <f>'Income Statement'!D13/'Balance Sheet'!D16</f>
        <v/>
      </c>
    </row>
  </sheetData>
  <mergeCells count="1">
    <mergeCell ref="A1:D1"/>
  </mergeCell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9" t="inlineStr">
        <is>
          <t>TREND ANALYSIS</t>
        </is>
      </c>
      <c r="B1" s="16" t="n"/>
      <c r="C1" s="16" t="n"/>
      <c r="D1" s="16" t="n"/>
    </row>
    <row r="2"/>
    <row r="3" ht="30" customHeight="1">
      <c r="A3" s="21" t="inlineStr">
        <is>
          <t>Metric</t>
        </is>
      </c>
      <c r="B3" s="21" t="n">
        <v>2023</v>
      </c>
      <c r="C3" s="21" t="n">
        <v>2024</v>
      </c>
      <c r="D3" s="21" t="n">
        <v>2025</v>
      </c>
    </row>
    <row r="4" ht="25" customHeight="1">
      <c r="A4" s="25" t="inlineStr">
        <is>
          <t>Revenue</t>
        </is>
      </c>
      <c r="B4" s="26">
        <f>'Income Statement'!B5</f>
        <v/>
      </c>
      <c r="C4" s="26">
        <f>'Income Statement'!C5</f>
        <v/>
      </c>
      <c r="D4" s="26">
        <f>'Income Statement'!D5</f>
        <v/>
      </c>
    </row>
    <row r="5" ht="25" customHeight="1">
      <c r="A5" s="27" t="inlineStr">
        <is>
          <t>Gross Profit</t>
        </is>
      </c>
      <c r="B5" s="28">
        <f>'Income Statement'!B7</f>
        <v/>
      </c>
      <c r="C5" s="28">
        <f>'Income Statement'!C7</f>
        <v/>
      </c>
      <c r="D5" s="28">
        <f>'Income Statement'!D7</f>
        <v/>
      </c>
    </row>
    <row r="6" ht="25" customHeight="1">
      <c r="A6" s="27" t="inlineStr">
        <is>
          <t>Operating Income</t>
        </is>
      </c>
      <c r="B6" s="28">
        <f>'Income Statement'!B9</f>
        <v/>
      </c>
      <c r="C6" s="28">
        <f>'Income Statement'!C9</f>
        <v/>
      </c>
      <c r="D6" s="28">
        <f>'Income Statement'!D9</f>
        <v/>
      </c>
    </row>
    <row r="7" ht="25" customHeight="1">
      <c r="A7" s="27" t="inlineStr">
        <is>
          <t>Net Income</t>
        </is>
      </c>
      <c r="B7" s="28">
        <f>'Income Statement'!B13</f>
        <v/>
      </c>
      <c r="C7" s="28">
        <f>'Income Statement'!C13</f>
        <v/>
      </c>
      <c r="D7" s="28">
        <f>'Income Statement'!D13</f>
        <v/>
      </c>
    </row>
    <row r="8" ht="25" customHeight="1">
      <c r="A8" s="27" t="inlineStr">
        <is>
          <t>Total Assets</t>
        </is>
      </c>
      <c r="B8" s="28">
        <f>'Balance Sheet'!B10</f>
        <v/>
      </c>
      <c r="C8" s="28">
        <f>'Balance Sheet'!C10</f>
        <v/>
      </c>
      <c r="D8" s="28">
        <f>'Balance Sheet'!D10</f>
        <v/>
      </c>
    </row>
    <row r="9" ht="25" customHeight="1">
      <c r="A9" s="27" t="inlineStr">
        <is>
          <t>Ending Cash</t>
        </is>
      </c>
      <c r="B9" s="28">
        <f>'Cash Flow'!B16</f>
        <v/>
      </c>
      <c r="C9" s="28">
        <f>'Cash Flow'!C16</f>
        <v/>
      </c>
      <c r="D9" s="28">
        <f>'Cash Flow'!D16</f>
        <v/>
      </c>
    </row>
    <row r="10"/>
    <row r="11"/>
    <row r="12" ht="25" customHeight="1">
      <c r="A12" s="33" t="inlineStr">
        <is>
          <t>Year-over-year growth</t>
        </is>
      </c>
      <c r="B12" s="34" t="n"/>
      <c r="C12" s="34" t="n"/>
      <c r="D12" s="34" t="n"/>
    </row>
    <row r="13" ht="25" customHeight="1">
      <c r="A13" s="35" t="inlineStr">
        <is>
          <t>Metric</t>
        </is>
      </c>
      <c r="B13" s="36" t="inlineStr">
        <is>
          <t>2024 vs 2023</t>
        </is>
      </c>
      <c r="C13" s="36" t="inlineStr">
        <is>
          <t>2025 vs 2024</t>
        </is>
      </c>
      <c r="D13" s="37" t="n"/>
    </row>
    <row r="14" ht="25" customHeight="1">
      <c r="A14" s="25" t="inlineStr">
        <is>
          <t>Revenue</t>
        </is>
      </c>
      <c r="B14" s="26">
        <f>C4/B4-1</f>
        <v/>
      </c>
      <c r="C14" s="26">
        <f>D4/C4-1</f>
        <v/>
      </c>
      <c r="D14" s="34" t="n"/>
    </row>
    <row r="15" ht="25" customHeight="1">
      <c r="A15" s="27" t="inlineStr">
        <is>
          <t>Gross Profit</t>
        </is>
      </c>
      <c r="B15" s="28">
        <f>C5/B5-1</f>
        <v/>
      </c>
      <c r="C15" s="28">
        <f>D5/C5-1</f>
        <v/>
      </c>
      <c r="D15" s="38" t="n"/>
    </row>
    <row r="16" ht="25" customHeight="1">
      <c r="A16" s="27" t="inlineStr">
        <is>
          <t>Operating Income</t>
        </is>
      </c>
      <c r="B16" s="28">
        <f>C6/B6-1</f>
        <v/>
      </c>
      <c r="C16" s="28">
        <f>D6/C6-1</f>
        <v/>
      </c>
      <c r="D16" s="38" t="n"/>
    </row>
    <row r="17" ht="25" customHeight="1">
      <c r="A17" s="27" t="inlineStr">
        <is>
          <t>Net Income</t>
        </is>
      </c>
      <c r="B17" s="28">
        <f>C7/B7-1</f>
        <v/>
      </c>
      <c r="C17" s="28">
        <f>D7/C7-1</f>
        <v/>
      </c>
      <c r="D17" s="38" t="n"/>
    </row>
    <row r="18" ht="25" customHeight="1">
      <c r="A18" s="27" t="inlineStr">
        <is>
          <t>Total Assets</t>
        </is>
      </c>
      <c r="B18" s="28">
        <f>C8/B8-1</f>
        <v/>
      </c>
      <c r="C18" s="28">
        <f>D8/C8-1</f>
        <v/>
      </c>
      <c r="D18" s="38" t="n"/>
    </row>
    <row r="19" ht="25" customHeight="1">
      <c r="A19" s="27" t="inlineStr">
        <is>
          <t>Ending Cash</t>
        </is>
      </c>
      <c r="B19" s="28">
        <f>C9/B9-1</f>
        <v/>
      </c>
      <c r="C19" s="28">
        <f>D9/C9-1</f>
        <v/>
      </c>
      <c r="D19" s="38" t="n"/>
    </row>
  </sheetData>
  <mergeCells count="1">
    <mergeCell ref="A1:D1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2026-10-29T12:09:55Z</dcterms:created>
  <dcterms:modified xmlns:dcterms="http://purl.org/dc/terms/" xmlns:xsi="http://www.w3.org/2001/XMLSchema-instance" xsi:type="dcterms:W3CDTF">2026-10-29T12:18:58Z</dcterms:modified>
</cp:coreProperties>
</file>